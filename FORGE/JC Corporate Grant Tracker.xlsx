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Pipelin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30" customWidth="1" min="4" max="4"/>
    <col width="30" customWidth="1" min="5" max="5"/>
    <col width="55" customWidth="1" min="6" max="6"/>
    <col width="34" customWidth="1" min="7" max="7"/>
    <col width="45" customWidth="1" min="8" max="8"/>
    <col width="32" customWidth="1" min="9" max="9"/>
    <col width="26" customWidth="1" min="10" max="10"/>
    <col width="22" customWidth="1" min="11" max="11"/>
    <col width="26" customWidth="1" min="12" max="12"/>
    <col width="20" customWidth="1" min="13" max="13"/>
    <col width="14" customWidth="1" min="14" max="14"/>
  </cols>
  <sheetData>
    <row r="1">
      <c r="A1" s="1" t="inlineStr">
        <is>
          <t>Grant Name</t>
        </is>
      </c>
      <c r="B1" s="1" t="inlineStr">
        <is>
          <t>Funder / Organization</t>
        </is>
      </c>
      <c r="C1" s="1" t="inlineStr">
        <is>
          <t>Funder Type</t>
        </is>
      </c>
      <c r="D1" s="1" t="inlineStr">
        <is>
          <t>Award Amount Range</t>
        </is>
      </c>
      <c r="E1" s="1" t="inlineStr">
        <is>
          <t>Application Deadline</t>
        </is>
      </c>
      <c r="F1" s="1" t="inlineStr">
        <is>
          <t>Eligibility Requirements</t>
        </is>
      </c>
      <c r="G1" s="1" t="inlineStr">
        <is>
          <t>Applicant Entity Needed</t>
        </is>
      </c>
      <c r="H1" s="1" t="inlineStr">
        <is>
          <t>Mission Fit Notes</t>
        </is>
      </c>
      <c r="I1" s="1" t="inlineStr">
        <is>
          <t>Application URL</t>
        </is>
      </c>
      <c r="J1" s="1" t="inlineStr">
        <is>
          <t>Contact Email</t>
        </is>
      </c>
      <c r="K1" s="1" t="inlineStr">
        <is>
          <t>Status</t>
        </is>
      </c>
      <c r="L1" s="1" t="inlineStr">
        <is>
          <t>Next Step</t>
        </is>
      </c>
      <c r="M1" s="1" t="inlineStr">
        <is>
          <t>Assigned Director</t>
        </is>
      </c>
      <c r="N1" s="1" t="inlineStr">
        <is>
          <t>Date Added</t>
        </is>
      </c>
    </row>
    <row r="2" ht="90" customHeight="1">
      <c r="A2" s="5" t="inlineStr">
        <is>
          <t>ViiV Healthcare Positive Action — AMP Grant</t>
        </is>
      </c>
      <c r="B2" s="5" t="inlineStr">
        <is>
          <t>ViiV Healthcare</t>
        </is>
      </c>
      <c r="C2" s="5" t="inlineStr">
        <is>
          <t>Pharma Corporate (HIV-specific, GSK/Pfizer joint venture)</t>
        </is>
      </c>
      <c r="D2" s="3" t="inlineStr">
        <is>
          <t>Not publicly listed — confirm via application materials</t>
        </is>
      </c>
      <c r="E2" s="3" t="inlineStr">
        <is>
          <t>July 12, 2026 (AMP Grant cycle) — time-sensitive</t>
        </is>
      </c>
      <c r="F2" s="3" t="inlineStr">
        <is>
          <t>Community-led organizations working to disrupt disparities in HIV care; three-year AMP Grant incubator structure</t>
        </is>
      </c>
      <c r="G2" s="3" t="inlineStr">
        <is>
          <t>Confirm — ViiV's main Positive Action Community Grants line is currently closed to unsolicited applications; AMP Grant appears to be the open door</t>
        </is>
      </c>
      <c r="H2" s="3" t="inlineStr">
        <is>
          <t>HIV-specific pharma funder, strong disparities/community-care angle for SID program</t>
        </is>
      </c>
      <c r="I2" s="5" t="inlineStr">
        <is>
          <t>https://viivhealthcare.com/en-us/supporting-the-hiv-community/positive-action-amp-grant/</t>
        </is>
      </c>
      <c r="J2" s="5" t="inlineStr">
        <is>
          <t>viiv@tccgrp.com</t>
        </is>
      </c>
      <c r="K2" s="5" t="inlineStr">
        <is>
          <t>Not Started</t>
        </is>
      </c>
      <c r="L2" s="5" t="n"/>
      <c r="M2" s="5" t="n"/>
      <c r="N2" s="5" t="inlineStr">
        <is>
          <t>07/16/2026</t>
        </is>
      </c>
    </row>
    <row r="3" ht="90" customHeight="1">
      <c r="A3" s="5" t="inlineStr">
        <is>
          <t>AbbVie Foundation Health Equity Accelerator</t>
        </is>
      </c>
      <c r="B3" s="5" t="inlineStr">
        <is>
          <t>AbbVie Foundation</t>
        </is>
      </c>
      <c r="C3" s="5" t="inlineStr">
        <is>
          <t>Pharma Corporate (Chicago-area headquartered — North Chicago, IL)</t>
        </is>
      </c>
      <c r="D3" s="3" t="inlineStr">
        <is>
          <t>$10,000 stipend for up to 5 selected orgs; one org receives an additional $50,000 scale-up grant</t>
        </is>
      </c>
      <c r="E3" s="3" t="inlineStr">
        <is>
          <t>2026 cycle open now — confirm exact close date via MATTER/AbbVie Foundation</t>
        </is>
      </c>
      <c r="F3" s="3" t="inlineStr">
        <is>
          <t>US-based 501(c)(3); community-based organizations rethinking delivery of care for underserved communities; run in partnership with MATTER (10-week accelerator program, not just a check)</t>
        </is>
      </c>
      <c r="G3" s="3" t="inlineStr">
        <is>
          <t>Confirm — likely needs Lurie Children's Foundation or JC's own 501(c)(3) status</t>
        </is>
      </c>
      <c r="H3" s="3" t="inlineStr">
        <is>
          <t>Not HIV-specific but strong local Chicago corporate relationship-building opportunity with a major regional pharma company</t>
        </is>
      </c>
      <c r="I3" s="5" t="inlineStr">
        <is>
          <t>https://www.businesswire.com/news/home/20260127760699/en/The-AbbVie-Foundation-Is-Now-Accepting-Applications-to-Participate-in-the-2026-AbbVie-Foundation-Health-Equity-Accelerator</t>
        </is>
      </c>
      <c r="J3" s="5" t="inlineStr">
        <is>
          <t>abbviefoundation@abbvie.com</t>
        </is>
      </c>
      <c r="K3" s="5" t="inlineStr">
        <is>
          <t>Not Started</t>
        </is>
      </c>
      <c r="L3" s="5" t="n"/>
      <c r="M3" s="5" t="n"/>
      <c r="N3" s="5" t="inlineStr">
        <is>
          <t>07/16/2026</t>
        </is>
      </c>
    </row>
    <row r="4" ht="90" customHeight="1">
      <c r="A4" s="5" t="inlineStr">
        <is>
          <t>Blue Cross Blue Shield of Illinois — Blue Impact Grant</t>
        </is>
      </c>
      <c r="B4" s="5" t="inlineStr">
        <is>
          <t>Blue Cross and Blue Shield of Illinois (HCSC)</t>
        </is>
      </c>
      <c r="C4" s="5" t="inlineStr">
        <is>
          <t>Health Insurance Corporate Foundation</t>
        </is>
      </c>
      <c r="D4" s="3" t="inlineStr">
        <is>
          <t>Part of a $3M statewide grant pool; individual award size varies</t>
        </is>
      </c>
      <c r="E4" s="3" t="inlineStr">
        <is>
          <t>Annual cycle — FY27 window closed Jan 30, 2026; next cycle expected to open approximately Nov/Dec 2026</t>
        </is>
      </c>
      <c r="F4" s="3" t="inlineStr">
        <is>
          <t>501(c)(3) status required; must be located within and serve Illinois residents; one-stage full online application (no invitation required)</t>
        </is>
      </c>
      <c r="G4" s="3" t="inlineStr">
        <is>
          <t>Open application — confirm whether JC's own 501(c)(3) status qualifies or whether Lurie Children's Foundation should apply</t>
        </is>
      </c>
      <c r="H4" s="3" t="inlineStr">
        <is>
          <t>Focused on social determinants of health / health equity in underserved communities — strong general fit, genuinely open (non-invitation) process improves odds vs. mega-national HIV funders</t>
        </is>
      </c>
      <c r="I4" s="5" t="inlineStr">
        <is>
          <t>https://www.bcbsil.com/company-info/community-involvement/grant-sponsorship</t>
        </is>
      </c>
      <c r="J4" s="5" t="inlineStr">
        <is>
          <t>(apply via online portal — see application URL)</t>
        </is>
      </c>
      <c r="K4" s="5" t="inlineStr">
        <is>
          <t>Not Started</t>
        </is>
      </c>
      <c r="L4" s="5" t="n"/>
      <c r="M4" s="5" t="n"/>
      <c r="N4" s="5" t="inlineStr">
        <is>
          <t>07/16/2026</t>
        </is>
      </c>
    </row>
    <row r="5" ht="90" customHeight="1">
      <c r="A5" s="5" t="inlineStr">
        <is>
          <t>Bank of America Charitable Foundation — Chicago Market</t>
        </is>
      </c>
      <c r="B5" s="5" t="inlineStr">
        <is>
          <t>Bank of America</t>
        </is>
      </c>
      <c r="C5" s="5" t="inlineStr">
        <is>
          <t>Bank Corporate Foundation</t>
        </is>
      </c>
      <c r="D5" s="3" t="inlineStr">
        <is>
          <t>Not publicly listed — varies by RFP cycle</t>
        </is>
      </c>
      <c r="E5" s="3" t="inlineStr">
        <is>
          <t>Posted RFP windows twice yearly — 2026 windows were Feb 2–Mar 2 (Basic Needs and Income Creation) and May 18–Jun 29 (Stable Housing and Empowering Communities); both closed for 2026 — calendar the next cycle, expected similarly timed in 2027</t>
        </is>
      </c>
      <c r="F5" s="3" t="inlineStr">
        <is>
          <t>501(c)(3), not a private foundation; must be based in and serve a Bank of America market (Chicago qualifies); applications only accepted within posted windows</t>
        </is>
      </c>
      <c r="G5" s="3" t="inlineStr">
        <is>
          <t>Open application within window — JC can likely apply directly</t>
        </is>
      </c>
      <c r="H5" s="3" t="inlineStr">
        <is>
          <t>"Empowered Communities" and "Basic Needs" priorities are health-adjacent; timing is the main constraint — flag for next open window rather than acting now</t>
        </is>
      </c>
      <c r="I5" s="5" t="inlineStr">
        <is>
          <t>https://about.bankofamerica.com/en/making-an-impact/grant-funding-for-nonprofits-sponsorship-programs</t>
        </is>
      </c>
      <c r="J5" s="5" t="inlineStr">
        <is>
          <t>(apply via online portal when window opens — see application URL)</t>
        </is>
      </c>
      <c r="K5" s="5" t="inlineStr">
        <is>
          <t>Not Started</t>
        </is>
      </c>
      <c r="L5" s="5" t="n"/>
      <c r="M5" s="5" t="n"/>
      <c r="N5" s="5" t="inlineStr">
        <is>
          <t>07/16/2026</t>
        </is>
      </c>
    </row>
    <row r="6" ht="90" customHeight="1">
      <c r="A6" s="5" t="inlineStr">
        <is>
          <t>Elton John AIDS Foundation (EJAF) — Americas Program</t>
        </is>
      </c>
      <c r="B6" s="5" t="inlineStr">
        <is>
          <t>Elton John AIDS Foundation</t>
        </is>
      </c>
      <c r="C6" s="5" t="inlineStr">
        <is>
          <t>Independent Foundation (HIV-specific)</t>
        </is>
      </c>
      <c r="D6" s="3" t="inlineStr">
        <is>
          <t>$10,000 – $1,000,000</t>
        </is>
      </c>
      <c r="E6" s="3" t="inlineStr">
        <is>
          <t>Rolling / responds to open Calls for Proposals — check site for current cycle</t>
        </is>
      </c>
      <c r="F6" s="3" t="inlineStr">
        <is>
          <t>Registered 501(c)(3) or has a nonprofit fiscal sponsor; must serve people living with, at risk of, or affected by HIV in the US, Canada, Mexico, Central/South America, or Caribbean; priority to orgs led by/based in the community served</t>
        </is>
      </c>
      <c r="G6" s="3" t="inlineStr">
        <is>
          <t>Likely needs Lurie Children's Foundation as applicant/fiscal sponsor — confirm JC's own 501(c)(3) status first</t>
        </is>
      </c>
      <c r="H6" s="3" t="inlineStr">
        <is>
          <t>Direct HIV mission match — SID program serves adolescents living with HIV, exactly EJAF's target population</t>
        </is>
      </c>
      <c r="I6" s="5" t="inlineStr">
        <is>
          <t>https://www.eltonjohnaidsfoundation.org/funding/</t>
        </is>
      </c>
      <c r="J6" s="5" t="inlineStr">
        <is>
          <t>(listed on funding page — check current cycle contact)</t>
        </is>
      </c>
      <c r="K6" s="5" t="inlineStr">
        <is>
          <t>Not Started</t>
        </is>
      </c>
      <c r="L6" s="5" t="n"/>
      <c r="M6" s="5" t="n"/>
      <c r="N6" s="5" t="inlineStr">
        <is>
          <t>07/16/2026</t>
        </is>
      </c>
    </row>
    <row r="7" ht="90" customHeight="1">
      <c r="A7" s="5" t="inlineStr">
        <is>
          <t>Gilead HIV Age Positively Initiative</t>
        </is>
      </c>
      <c r="B7" s="5" t="inlineStr">
        <is>
          <t>Gilead Sciences</t>
        </is>
      </c>
      <c r="C7" s="5" t="inlineStr">
        <is>
          <t>Pharma Corporate</t>
        </is>
      </c>
      <c r="D7" s="3" t="inlineStr">
        <is>
          <t>Program has distributed $17.6M across 30 orgs nationally in a single cycle (individual award size varies)</t>
        </is>
      </c>
      <c r="E7" s="3" t="inlineStr">
        <is>
          <t>Check Gilead's giving portal for current cycle dates</t>
        </is>
      </c>
      <c r="F7" s="3" t="inlineStr">
        <is>
          <t>Nonprofit organizations only (no individuals); must provide 501(c)(3) proof and federal tax ID; nationwide US eligibility (not limited to Southern states, unlike Gilead's separate COMPASS Initiative)</t>
        </is>
      </c>
      <c r="G7" s="3" t="inlineStr">
        <is>
          <t>Confirm whether Gilead requires the applicant to hold the tax ID directly or accepts fiscal sponsorship through Lurie Children's Foundation</t>
        </is>
      </c>
      <c r="H7" s="3" t="inlineStr">
        <is>
          <t>Focused on people aging with HIV — strong angle for SID's adolescents transitioning into adult HIV care</t>
        </is>
      </c>
      <c r="I7" s="5" t="inlineStr">
        <is>
          <t>https://www.gilead.com/responsibility/giving-at-gilead/corporate-giving/strategic-initiatives/hiv-age-positively</t>
        </is>
      </c>
      <c r="J7" s="5" t="inlineStr">
        <is>
          <t>grants@gilead.com</t>
        </is>
      </c>
      <c r="K7" s="5" t="inlineStr">
        <is>
          <t>Not Started</t>
        </is>
      </c>
      <c r="L7" s="5" t="n"/>
      <c r="M7" s="5" t="n"/>
      <c r="N7" s="5" t="inlineStr">
        <is>
          <t>07/16/2026</t>
        </is>
      </c>
    </row>
    <row r="8" ht="90" customHeight="1">
      <c r="A8" s="5" t="inlineStr">
        <is>
          <t>ComEd / Exelon Powering Communities Grants</t>
        </is>
      </c>
      <c r="B8" s="5" t="inlineStr">
        <is>
          <t>Exelon / ComEd</t>
        </is>
      </c>
      <c r="C8" s="5" t="inlineStr">
        <is>
          <t>Utility Corporate Foundation</t>
        </is>
      </c>
      <c r="D8" s="3" t="inlineStr">
        <is>
          <t>Up to $10,000 per grant</t>
        </is>
      </c>
      <c r="E8" s="3" t="inlineStr">
        <is>
          <t>Rolling — submit via brief online inquiry form</t>
        </is>
      </c>
      <c r="F8" s="3" t="inlineStr">
        <is>
          <t>501(c)(3) organizations only; cannot have received a grant from Exelon or its subsidiaries within the past 12 months; must not discriminate based on religion, ethnicity, gender, or sexual orientation</t>
        </is>
      </c>
      <c r="G8" s="3" t="inlineStr">
        <is>
          <t>Open application — JC can likely apply directly</t>
        </is>
      </c>
      <c r="H8" s="3" t="inlineStr">
        <is>
          <t>High award volume (over $5.3M distributed to hundreds of local projects since 2013) means meaningfully higher approval odds than large national funders, even though award size is modest</t>
        </is>
      </c>
      <c r="I8" s="5" t="inlineStr">
        <is>
          <t>https://www.exeloncorp.com/community/grants</t>
        </is>
      </c>
      <c r="J8" s="5" t="inlineStr">
        <is>
          <t>(submit via online inquiry form on application URL)</t>
        </is>
      </c>
      <c r="K8" s="5" t="inlineStr">
        <is>
          <t>Not Started</t>
        </is>
      </c>
      <c r="L8" s="5" t="n"/>
      <c r="M8" s="5" t="n"/>
      <c r="N8" s="5" t="inlineStr">
        <is>
          <t>07/16/2026</t>
        </is>
      </c>
    </row>
    <row r="9" ht="90" customHeight="1">
      <c r="A9" s="5" t="inlineStr">
        <is>
          <t>Chicago Bears Community All-Pros Grant</t>
        </is>
      </c>
      <c r="B9" s="5" t="inlineStr">
        <is>
          <t>Chicago Bears</t>
        </is>
      </c>
      <c r="C9" s="5" t="inlineStr">
        <is>
          <t>Sports Team Charitable Foundation</t>
        </is>
      </c>
      <c r="D9" s="3" t="inlineStr">
        <is>
          <t>Single annual grant — 2025 cycle was $106,000</t>
        </is>
      </c>
      <c r="E9" s="3" t="inlineStr">
        <is>
          <t>Annual — check chicagobears.com/community for current cycle open dates</t>
        </is>
      </c>
      <c r="F9" s="3" t="inlineStr">
        <is>
          <t>Must be located within the Chicagoland area; must demonstrate commitment to social justice / one of the Bears' four pillars (economic advancement, education, community safety, health equity) with measurable community impact</t>
        </is>
      </c>
      <c r="G9" s="3" t="inlineStr">
        <is>
          <t>Open application — JC can likely apply directly</t>
        </is>
      </c>
      <c r="H9" s="3" t="inlineStr">
        <is>
          <t>Health equity is an explicit funding pillar; single-winner format makes this competitive, but the transparent public application process and strong local PR value make it worth pursuing regardless of outcome</t>
        </is>
      </c>
      <c r="I9" s="5" t="inlineStr">
        <is>
          <t>https://www.chicagobears.com/news/chicago-bears-open-2025-community-all-pros-106-000-grant-applications</t>
        </is>
      </c>
      <c r="J9" s="5" t="inlineStr">
        <is>
          <t>(apply via online portal — see application URL)</t>
        </is>
      </c>
      <c r="K9" s="5" t="inlineStr">
        <is>
          <t>Not Started</t>
        </is>
      </c>
      <c r="L9" s="5" t="n"/>
      <c r="M9" s="5" t="n"/>
      <c r="N9" s="5" t="inlineStr">
        <is>
          <t>07/16/2026</t>
        </is>
      </c>
    </row>
    <row r="10" ht="90" customHeight="1">
      <c r="A10" s="5" t="inlineStr">
        <is>
          <t>Chicago Community Trust — GrantCentral (Young Leaders Fund track)</t>
        </is>
      </c>
      <c r="B10" s="5" t="inlineStr">
        <is>
          <t>The Chicago Community Trust</t>
        </is>
      </c>
      <c r="C10" s="5" t="inlineStr">
        <is>
          <t>Community Foundation</t>
        </is>
      </c>
      <c r="D10" s="3" t="inlineStr">
        <is>
          <t>Young Leaders Fund distributed $105,000 total across grantees in its 2026 cycle — sized for smaller/mid organizations rather than requiring multi-million-dollar competitive scale</t>
        </is>
      </c>
      <c r="E10" s="3" t="inlineStr">
        <is>
          <t>Rolling — register in GrantCentral and monitor open opportunities; Trust is moving to fully rolling applications by fall 2026</t>
        </is>
      </c>
      <c r="F10" s="3" t="inlineStr">
        <is>
          <t>501(c)(3) status or a nonprofit fiscal sponsor; must benefit residents of the Chicago region; register and apply through the GrantCentral portal</t>
        </is>
      </c>
      <c r="G10" s="3" t="inlineStr">
        <is>
          <t>Open application — JC can likely apply directly, or via fiscal sponsor if needed</t>
        </is>
      </c>
      <c r="H10" s="3" t="inlineStr">
        <is>
          <t>Youth development and community health are core funding areas; genuinely open, no-invitation rolling portal — good realistic target relative to award size</t>
        </is>
      </c>
      <c r="I10" s="5" t="inlineStr">
        <is>
          <t>https://www.cct.org/grants/how-to-apply/</t>
        </is>
      </c>
      <c r="J10" s="5" t="inlineStr">
        <is>
          <t>(register and apply via GrantCentral — see application URL)</t>
        </is>
      </c>
      <c r="K10" s="5" t="inlineStr">
        <is>
          <t>Not Started</t>
        </is>
      </c>
      <c r="L10" s="5" t="n"/>
      <c r="M10" s="5" t="n"/>
      <c r="N10" s="5" t="inlineStr">
        <is>
          <t>07/16/2026</t>
        </is>
      </c>
    </row>
    <row r="11" ht="90" customHeight="1">
      <c r="A11" s="5" t="inlineStr">
        <is>
          <t>Northern Trust Foundation — Health &amp; Youth Grant</t>
        </is>
      </c>
      <c r="B11" s="5" t="inlineStr">
        <is>
          <t>Northern Trust</t>
        </is>
      </c>
      <c r="C11" s="5" t="inlineStr">
        <is>
          <t>Bank Foundation (Chicago-headquartered)</t>
        </is>
      </c>
      <c r="D11" s="3" t="inlineStr">
        <is>
          <t>$10,000 – $50,000</t>
        </is>
      </c>
      <c r="E11" s="3" t="inlineStr">
        <is>
          <t>Letter of Inquiry first, rolling — invitation to full application follows if eligible</t>
        </is>
      </c>
      <c r="F11" s="3" t="inlineStr">
        <is>
          <t>Tax-exempt 501(c)(3); must provide DIRECT services to youth ages 16-24 residing on Chicago's South and West Sides; only one grant request per org per year</t>
        </is>
      </c>
      <c r="G11" s="3" t="inlineStr">
        <is>
          <t>Likely needs Lurie Children's Foundation/SID program as the direct-service applicant — JC itself does not provide direct services, so this may not be eligible as-is</t>
        </is>
      </c>
      <c r="H11" s="3" t="inlineStr">
        <is>
          <t>Geographic/service restriction is a real constraint — verify SID program's service area overlaps South/West Side before investing time here</t>
        </is>
      </c>
      <c r="I11" s="5" t="inlineStr">
        <is>
          <t>https://www.northerntrust.com/united-states/about-us/corporate-social-responsibility/corporate-philanthropy/foundation</t>
        </is>
      </c>
      <c r="J11" s="5" t="inlineStr">
        <is>
          <t>(submit LOI via website)</t>
        </is>
      </c>
      <c r="K11" s="5" t="inlineStr">
        <is>
          <t>Not Started</t>
        </is>
      </c>
      <c r="L11" s="5" t="n"/>
      <c r="M11" s="5" t="n"/>
      <c r="N11" s="5" t="inlineStr">
        <is>
          <t>07/16/2026</t>
        </is>
      </c>
    </row>
  </sheetData>
  <conditionalFormatting sqref="K2:K1000">
    <cfRule type="cellIs" priority="1" operator="equal" dxfId="0">
      <formula>"Awarded"</formula>
    </cfRule>
    <cfRule type="cellIs" priority="2" operator="equal" dxfId="1">
      <formula>"Declined"</formula>
    </cfRule>
    <cfRule type="cellIs" priority="3" operator="equal" dxfId="2">
      <formula>"Not Started"</formula>
    </cfRule>
    <cfRule type="cellIs" priority="4" operator="equal" dxfId="2">
      <formula>"Not Pursuing"</formula>
    </cfRule>
    <cfRule type="cellIs" priority="5" operator="equal" dxfId="3">
      <formula>"LOI Drafted"</formula>
    </cfRule>
    <cfRule type="cellIs" priority="6" operator="equal" dxfId="3">
      <formula>"LOI Submitted"</formula>
    </cfRule>
    <cfRule type="cellIs" priority="7" operator="equal" dxfId="3">
      <formula>"Full Application Drafted"</formula>
    </cfRule>
    <cfRule type="cellIs" priority="8" operator="equal" dxfId="3">
      <formula>"Full Application Submitted"</formula>
    </cfRule>
  </conditionalFormatting>
  <dataValidations count="1">
    <dataValidation sqref="K2:K1000" showDropDown="0" showInputMessage="0" showErrorMessage="0" allowBlank="1" errorTitle="Invalid Status" error="Please select a valid status from the list." promptTitle="Status" prompt="Select a status" type="list">
      <formula1>"Not Started,Researching,LOI Drafted,LOI Submitted,Full Application Drafted,Full Application Submitted,Awarded,Declined,Not Pursuing"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80" customHeight="1">
      <c r="A1" s="4" t="inlineStr">
        <is>
          <t>Before submitting any application: confirm whether Junior Council has its own 501(c)(3)/EIN or needs to apply through Lurie Children's Foundation as fiscal sponsor. Coordinate with APEX (President) and VAULT (Treasurer) on this before drafting. High-dollar applications (EJAF, Gilead) should be drafted with Opus-level review given the stakes.</t>
        </is>
      </c>
    </row>
    <row r="2" ht="60" customHeight="1">
      <c r="A2" s="4" t="inlineStr">
        <is>
          <t>Rows 6-10 (added 07/16/2026) are funders with genuinely open, non-invitation application processes — prioritize these for near-term wins while rows 1-5 (large national HIV funders) get vetted for entity/eligibility 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2026-07-17T01:56:53Z</dcterms:created>
  <dcterms:modified xmlns:dcterms="http://purl.org/dc/terms/" xmlns:xsi="http://www.w3.org/2001/XMLSchema-instance" xsi:type="dcterms:W3CDTF">2026-07-17T01:59:21Z</dcterms:modified>
</cp:coreProperties>
</file>